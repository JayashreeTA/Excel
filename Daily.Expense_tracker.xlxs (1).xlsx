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s\Downloads\"/>
    </mc:Choice>
  </mc:AlternateContent>
  <xr:revisionPtr revIDLastSave="0" documentId="8_{D7196680-CC0E-4A0B-AB8B-E5B2424D9F9B}" xr6:coauthVersionLast="47" xr6:coauthVersionMax="47" xr10:uidLastSave="{00000000-0000-0000-0000-000000000000}"/>
  <bookViews>
    <workbookView xWindow="-108" yWindow="-108" windowWidth="23256" windowHeight="12456" xr2:uid="{BBD1545E-71E7-4748-96C9-6786777C1DA4}"/>
  </bookViews>
  <sheets>
    <sheet name="Expense Tracker" sheetId="1" r:id="rId1"/>
  </sheets>
  <definedNames>
    <definedName name="_xlchart.v1.0" hidden="1">'Expense Tracker'!$B$2:$B$16</definedName>
    <definedName name="_xlchart.v1.1" hidden="1">'Expense Tracker'!$C$1</definedName>
    <definedName name="_xlchart.v1.2" hidden="1">'Expense Tracker'!$C$2:$C$16</definedName>
    <definedName name="_xlchart.v1.3" hidden="1">'Expense Tracker'!$B$2:$B$16</definedName>
    <definedName name="_xlchart.v1.4" hidden="1">'Expense Tracker'!$C$1</definedName>
    <definedName name="_xlchart.v1.5" hidden="1">'Expense Tracker'!$C$2:$C$16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/>
  <c r="C21" i="1"/>
  <c r="C20" i="1"/>
  <c r="C19" i="1"/>
  <c r="C18" i="1"/>
</calcChain>
</file>

<file path=xl/sharedStrings.xml><?xml version="1.0" encoding="utf-8"?>
<sst xmlns="http://schemas.openxmlformats.org/spreadsheetml/2006/main" count="55" uniqueCount="33">
  <si>
    <t>Date</t>
  </si>
  <si>
    <t>Category</t>
  </si>
  <si>
    <t>Description</t>
  </si>
  <si>
    <t>Payment Mode</t>
  </si>
  <si>
    <t>Food</t>
  </si>
  <si>
    <t>Breakfast</t>
  </si>
  <si>
    <t>UPI</t>
  </si>
  <si>
    <t>Transport</t>
  </si>
  <si>
    <t>Bus Fare</t>
  </si>
  <si>
    <t>Cash</t>
  </si>
  <si>
    <t>Shopping</t>
  </si>
  <si>
    <t>Notebook</t>
  </si>
  <si>
    <t>Card</t>
  </si>
  <si>
    <t>Lunch</t>
  </si>
  <si>
    <t>Entertainment</t>
  </si>
  <si>
    <t>Movie</t>
  </si>
  <si>
    <t>Dinner</t>
  </si>
  <si>
    <t>Utilities</t>
  </si>
  <si>
    <t>Mobile Recharge</t>
  </si>
  <si>
    <t>Pen Drive</t>
  </si>
  <si>
    <t>Snacks</t>
  </si>
  <si>
    <t>Auto</t>
  </si>
  <si>
    <t>Coffee</t>
  </si>
  <si>
    <t>Water Bottle</t>
  </si>
  <si>
    <t>Electricity Bill</t>
  </si>
  <si>
    <t>OTT Subscription</t>
  </si>
  <si>
    <t>Pizza</t>
  </si>
  <si>
    <t>Total Expense</t>
  </si>
  <si>
    <t>Average</t>
  </si>
  <si>
    <t>Highest Expense</t>
  </si>
  <si>
    <t>Lowest Expense</t>
  </si>
  <si>
    <t>Total Transaction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</si>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</sst>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777777777777776E-2"/>
          <c:y val="0.20412037037037037"/>
          <c:w val="0.93888888888888888"/>
          <c:h val="0.52215113735783025"/>
        </c:manualLayout>
      </c:layout>
      <c:pie3DChart>
        <c:varyColors val="1"/>
        <c:ser>
          <c:idx val="0"/>
          <c:order val="0"/>
          <c:tx>
            <c:strRef>
              <c:f>'Expense Tracker'!$C$1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'Expense Tracker'!$B$2:$B$16</c:f>
              <c:strCache>
                <c:ptCount val="15"/>
                <c:pt idx="0">
                  <c:v>Transport</c:v>
                </c:pt>
                <c:pt idx="1">
                  <c:v>Food</c:v>
                </c:pt>
                <c:pt idx="2">
                  <c:v>Food</c:v>
                </c:pt>
                <c:pt idx="3">
                  <c:v>Shopping</c:v>
                </c:pt>
                <c:pt idx="4">
                  <c:v>Food</c:v>
                </c:pt>
                <c:pt idx="5">
                  <c:v>Entertainment</c:v>
                </c:pt>
                <c:pt idx="6">
                  <c:v>Utilities</c:v>
                </c:pt>
                <c:pt idx="7">
                  <c:v>Food</c:v>
                </c:pt>
                <c:pt idx="8">
                  <c:v>Shopping</c:v>
                </c:pt>
                <c:pt idx="9">
                  <c:v>Food</c:v>
                </c:pt>
                <c:pt idx="10">
                  <c:v>Transport</c:v>
                </c:pt>
                <c:pt idx="11">
                  <c:v>Shopping</c:v>
                </c:pt>
                <c:pt idx="12">
                  <c:v>Utilities</c:v>
                </c:pt>
                <c:pt idx="13">
                  <c:v>Entertainment</c:v>
                </c:pt>
                <c:pt idx="14">
                  <c:v>Food</c:v>
                </c:pt>
              </c:strCache>
            </c:strRef>
          </c:cat>
          <c:val>
            <c:numRef>
              <c:f>'Expense Tracker'!$C$2:$C$16</c:f>
              <c:numCache>
                <c:formatCode>General</c:formatCode>
                <c:ptCount val="15"/>
                <c:pt idx="0">
                  <c:v>40</c:v>
                </c:pt>
                <c:pt idx="1">
                  <c:v>120</c:v>
                </c:pt>
                <c:pt idx="2">
                  <c:v>180</c:v>
                </c:pt>
                <c:pt idx="3">
                  <c:v>250</c:v>
                </c:pt>
                <c:pt idx="4">
                  <c:v>220</c:v>
                </c:pt>
                <c:pt idx="5">
                  <c:v>350</c:v>
                </c:pt>
                <c:pt idx="6">
                  <c:v>299</c:v>
                </c:pt>
                <c:pt idx="7">
                  <c:v>80</c:v>
                </c:pt>
                <c:pt idx="8">
                  <c:v>650</c:v>
                </c:pt>
                <c:pt idx="9">
                  <c:v>90</c:v>
                </c:pt>
                <c:pt idx="10">
                  <c:v>100</c:v>
                </c:pt>
                <c:pt idx="11">
                  <c:v>350</c:v>
                </c:pt>
                <c:pt idx="12">
                  <c:v>1200</c:v>
                </c:pt>
                <c:pt idx="13">
                  <c:v>499</c:v>
                </c:pt>
                <c:pt idx="1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5-484E-A196-7429D2DD3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00000000-CB9C-4C74-BE90-B2FE478F9E0E}">
          <cx:tx>
            <cx:txData>
              <cx:f>_xlchart.v1.1</cx:f>
              <cx:v>Amount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DA0A9AAA-109B-466E-94C4-595BB4A67AA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0</xdr:row>
      <xdr:rowOff>49530</xdr:rowOff>
    </xdr:from>
    <xdr:to>
      <xdr:col>12</xdr:col>
      <xdr:colOff>236220</xdr:colOff>
      <xdr:row>11</xdr:row>
      <xdr:rowOff>144780</xdr:rowOff>
    </xdr:to>
    <xdr:graphicFrame macro="">
      <xdr:nvGraphicFramePr>
        <xdr:cNvPr id="3" name="Expense distribution">
          <a:extLst>
            <a:ext uri="{FF2B5EF4-FFF2-40B4-BE49-F238E27FC236}">
              <a16:creationId xmlns:a16="http://schemas.microsoft.com/office/drawing/2014/main" id="{795A2BCE-6018-E241-C715-38FF600EC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220980</xdr:colOff>
      <xdr:row>12</xdr:row>
      <xdr:rowOff>26670</xdr:rowOff>
    </xdr:from>
    <xdr:to>
      <xdr:col>12</xdr:col>
      <xdr:colOff>281940</xdr:colOff>
      <xdr:row>24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CF79C39-4859-D7C3-E24C-EA1004BFDC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94960" y="2404110"/>
              <a:ext cx="4328160" cy="2495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43126-8798-4DFD-B0E3-9E7F1BB8E32C}" name="Table1" displayName="Table1" ref="A1:E17" totalsRowCount="1" headerRowDxfId="10" dataDxfId="11">
  <autoFilter ref="A1:E16" xr:uid="{4BE43126-8798-4DFD-B0E3-9E7F1BB8E32C}"/>
  <sortState xmlns:xlrd2="http://schemas.microsoft.com/office/spreadsheetml/2017/richdata2" ref="A2:E16">
    <sortCondition ref="A1:A16"/>
  </sortState>
  <tableColumns count="5">
    <tableColumn id="1" xr3:uid="{7888AE57-0E3E-4E4F-92E5-D10AD187362B}" name="Date" dataDxfId="15" totalsRowDxfId="9"/>
    <tableColumn id="2" xr3:uid="{6431195D-A00E-4E3E-A999-7C4B5C2033DB}" name="Category" dataDxfId="14" totalsRowDxfId="8"/>
    <tableColumn id="7" xr3:uid="{1C95682E-A196-4AE0-BA7A-59B477686BF1}" name="Amount" dataDxfId="2" totalsRowDxfId="3"/>
    <tableColumn id="3" xr3:uid="{744289C2-F140-4041-A755-86507EB2CDF7}" name="Description" dataDxfId="13" totalsRowDxfId="7"/>
    <tableColumn id="5" xr3:uid="{A79E5364-DF96-4104-A6B3-F74E1DBE22BC}" name="Payment Mode" dataDxfId="12" totalsRow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25B2-4B97-4733-B0FF-E4982B5F6137}">
  <dimension ref="A1:E22"/>
  <sheetViews>
    <sheetView tabSelected="1" workbookViewId="0">
      <selection activeCell="A2" sqref="A2"/>
    </sheetView>
  </sheetViews>
  <sheetFormatPr defaultRowHeight="14.4" x14ac:dyDescent="0.3"/>
  <cols>
    <col min="1" max="1" width="15.109375" customWidth="1"/>
    <col min="2" max="2" width="16.21875" customWidth="1"/>
    <col min="3" max="3" width="15.6640625" customWidth="1"/>
    <col min="4" max="4" width="12.5546875" customWidth="1"/>
    <col min="5" max="5" width="15.88671875" customWidth="1"/>
  </cols>
  <sheetData>
    <row r="1" spans="1:5" x14ac:dyDescent="0.3">
      <c r="A1" s="1" t="s">
        <v>0</v>
      </c>
      <c r="B1" s="1" t="s">
        <v>1</v>
      </c>
      <c r="C1" s="1" t="s">
        <v>32</v>
      </c>
      <c r="D1" s="1" t="s">
        <v>2</v>
      </c>
      <c r="E1" s="1" t="s">
        <v>3</v>
      </c>
    </row>
    <row r="2" spans="1:5" x14ac:dyDescent="0.3">
      <c r="A2" s="3">
        <v>46204</v>
      </c>
      <c r="B2" s="4" t="s">
        <v>7</v>
      </c>
      <c r="C2" s="2">
        <v>40</v>
      </c>
      <c r="D2" s="4" t="s">
        <v>8</v>
      </c>
      <c r="E2" s="4" t="s">
        <v>9</v>
      </c>
    </row>
    <row r="3" spans="1:5" x14ac:dyDescent="0.3">
      <c r="A3" s="3">
        <v>46204</v>
      </c>
      <c r="B3" s="4" t="s">
        <v>4</v>
      </c>
      <c r="C3" s="2">
        <v>120</v>
      </c>
      <c r="D3" s="4" t="s">
        <v>5</v>
      </c>
      <c r="E3" s="4" t="s">
        <v>6</v>
      </c>
    </row>
    <row r="4" spans="1:5" x14ac:dyDescent="0.3">
      <c r="A4" s="3">
        <v>46205</v>
      </c>
      <c r="B4" s="4" t="s">
        <v>4</v>
      </c>
      <c r="C4" s="2">
        <v>180</v>
      </c>
      <c r="D4" s="4" t="s">
        <v>13</v>
      </c>
      <c r="E4" s="4" t="s">
        <v>6</v>
      </c>
    </row>
    <row r="5" spans="1:5" x14ac:dyDescent="0.3">
      <c r="A5" s="3">
        <v>46205</v>
      </c>
      <c r="B5" s="4" t="s">
        <v>10</v>
      </c>
      <c r="C5" s="2">
        <v>250</v>
      </c>
      <c r="D5" s="4" t="s">
        <v>11</v>
      </c>
      <c r="E5" s="4" t="s">
        <v>12</v>
      </c>
    </row>
    <row r="6" spans="1:5" x14ac:dyDescent="0.3">
      <c r="A6" s="3">
        <v>46206</v>
      </c>
      <c r="B6" s="4" t="s">
        <v>4</v>
      </c>
      <c r="C6" s="2">
        <v>220</v>
      </c>
      <c r="D6" s="4" t="s">
        <v>16</v>
      </c>
      <c r="E6" s="4" t="s">
        <v>9</v>
      </c>
    </row>
    <row r="7" spans="1:5" x14ac:dyDescent="0.3">
      <c r="A7" s="3">
        <v>46206</v>
      </c>
      <c r="B7" s="4" t="s">
        <v>14</v>
      </c>
      <c r="C7" s="2">
        <v>350</v>
      </c>
      <c r="D7" s="4" t="s">
        <v>15</v>
      </c>
      <c r="E7" s="4" t="s">
        <v>12</v>
      </c>
    </row>
    <row r="8" spans="1:5" ht="28.8" x14ac:dyDescent="0.3">
      <c r="A8" s="3">
        <v>46207</v>
      </c>
      <c r="B8" s="4" t="s">
        <v>17</v>
      </c>
      <c r="C8" s="2">
        <v>299</v>
      </c>
      <c r="D8" s="4" t="s">
        <v>18</v>
      </c>
      <c r="E8" s="4" t="s">
        <v>6</v>
      </c>
    </row>
    <row r="9" spans="1:5" x14ac:dyDescent="0.3">
      <c r="A9" s="3">
        <v>46208</v>
      </c>
      <c r="B9" s="4" t="s">
        <v>4</v>
      </c>
      <c r="C9" s="2">
        <v>80</v>
      </c>
      <c r="D9" s="4" t="s">
        <v>20</v>
      </c>
      <c r="E9" s="4" t="s">
        <v>9</v>
      </c>
    </row>
    <row r="10" spans="1:5" x14ac:dyDescent="0.3">
      <c r="A10" s="3">
        <v>46208</v>
      </c>
      <c r="B10" s="4" t="s">
        <v>10</v>
      </c>
      <c r="C10" s="2">
        <v>650</v>
      </c>
      <c r="D10" s="4" t="s">
        <v>19</v>
      </c>
      <c r="E10" s="4" t="s">
        <v>12</v>
      </c>
    </row>
    <row r="11" spans="1:5" x14ac:dyDescent="0.3">
      <c r="A11" s="3">
        <v>46209</v>
      </c>
      <c r="B11" s="4" t="s">
        <v>4</v>
      </c>
      <c r="C11" s="2">
        <v>90</v>
      </c>
      <c r="D11" s="4" t="s">
        <v>22</v>
      </c>
      <c r="E11" s="4" t="s">
        <v>9</v>
      </c>
    </row>
    <row r="12" spans="1:5" x14ac:dyDescent="0.3">
      <c r="A12" s="3">
        <v>46209</v>
      </c>
      <c r="B12" s="4" t="s">
        <v>7</v>
      </c>
      <c r="C12" s="2">
        <v>100</v>
      </c>
      <c r="D12" s="4" t="s">
        <v>21</v>
      </c>
      <c r="E12" s="4" t="s">
        <v>6</v>
      </c>
    </row>
    <row r="13" spans="1:5" x14ac:dyDescent="0.3">
      <c r="A13" s="3">
        <v>46210</v>
      </c>
      <c r="B13" s="4" t="s">
        <v>10</v>
      </c>
      <c r="C13" s="2">
        <v>350</v>
      </c>
      <c r="D13" s="4" t="s">
        <v>23</v>
      </c>
      <c r="E13" s="4" t="s">
        <v>6</v>
      </c>
    </row>
    <row r="14" spans="1:5" x14ac:dyDescent="0.3">
      <c r="A14" s="3">
        <v>46211</v>
      </c>
      <c r="B14" s="4" t="s">
        <v>17</v>
      </c>
      <c r="C14" s="2">
        <v>1200</v>
      </c>
      <c r="D14" s="4" t="s">
        <v>24</v>
      </c>
      <c r="E14" s="4" t="s">
        <v>6</v>
      </c>
    </row>
    <row r="15" spans="1:5" ht="28.8" x14ac:dyDescent="0.3">
      <c r="A15" s="3">
        <v>46212</v>
      </c>
      <c r="B15" s="4" t="s">
        <v>14</v>
      </c>
      <c r="C15" s="2">
        <v>499</v>
      </c>
      <c r="D15" s="4" t="s">
        <v>25</v>
      </c>
      <c r="E15" s="4" t="s">
        <v>12</v>
      </c>
    </row>
    <row r="16" spans="1:5" x14ac:dyDescent="0.3">
      <c r="A16" s="3">
        <v>46213</v>
      </c>
      <c r="B16" s="4" t="s">
        <v>4</v>
      </c>
      <c r="C16" s="2">
        <v>450</v>
      </c>
      <c r="D16" s="4" t="s">
        <v>26</v>
      </c>
      <c r="E16" s="4" t="s">
        <v>12</v>
      </c>
    </row>
    <row r="17" spans="1:5" x14ac:dyDescent="0.3">
      <c r="A17" s="3"/>
      <c r="B17" s="4"/>
      <c r="C17" s="4"/>
      <c r="D17" s="4"/>
      <c r="E17" s="4"/>
    </row>
    <row r="18" spans="1:5" x14ac:dyDescent="0.3">
      <c r="B18" t="s">
        <v>27</v>
      </c>
      <c r="C18">
        <f>SUM(C2:C16)</f>
        <v>4878</v>
      </c>
    </row>
    <row r="19" spans="1:5" x14ac:dyDescent="0.3">
      <c r="B19" t="s">
        <v>28</v>
      </c>
      <c r="C19">
        <f>AVERAGE(C2:C16)</f>
        <v>325.2</v>
      </c>
    </row>
    <row r="20" spans="1:5" x14ac:dyDescent="0.3">
      <c r="B20" t="s">
        <v>29</v>
      </c>
      <c r="C20">
        <f>MAX(C2:C16)</f>
        <v>1200</v>
      </c>
    </row>
    <row r="21" spans="1:5" x14ac:dyDescent="0.3">
      <c r="B21" t="s">
        <v>30</v>
      </c>
      <c r="C21">
        <f>MIN(C2:C16)</f>
        <v>40</v>
      </c>
    </row>
    <row r="22" spans="1:5" x14ac:dyDescent="0.3">
      <c r="B22" t="s">
        <v>31</v>
      </c>
      <c r="C22">
        <f>COUNT(C2:C16)</f>
        <v>15</v>
      </c>
    </row>
  </sheetData>
  <conditionalFormatting sqref="C2:C16">
    <cfRule type="cellIs" dxfId="1" priority="1" operator="greaterThan">
      <formula>500</formula>
    </cfRule>
    <cfRule type="cellIs" dxfId="0" priority="2" operator="greaterThan">
      <formula>500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Jayashree T.A</dc:creator>
  <cp:lastModifiedBy>Jayashree T.A</cp:lastModifiedBy>
  <dcterms:created xsi:type="dcterms:W3CDTF">2026-07-24T15:36:11Z</dcterms:created>
  <dcterms:modified xsi:type="dcterms:W3CDTF">2026-07-24T16:11:40Z</dcterms:modified>
</cp:coreProperties>
</file>